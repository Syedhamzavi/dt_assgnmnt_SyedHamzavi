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<sst xmlns="http://schemas.openxmlformats.org/spreadsheetml/2006/main" count="16" uniqueCount="16">
  <si>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Selling Price</t>
  </si>
  <si>
    <t>COGS</t>
  </si>
  <si>
    <t>Amazon Fee %</t>
  </si>
  <si>
    <t>Monthly Ad Spend</t>
  </si>
  <si>
    <t>Units Sold via Ads</t>
  </si>
  <si>
    <t>Organic Units Sold</t>
  </si>
  <si>
    <t>Fixed Costs</t>
  </si>
  <si>
    <t>Gross Margin per Unit</t>
  </si>
  <si>
    <t>Amazon Fee per Unit</t>
  </si>
  <si>
    <t>Ad Cost per Unit</t>
  </si>
  <si>
    <t>Net Margin Ad Unit</t>
  </si>
  <si>
    <t>Net Margin Organic Unit</t>
  </si>
  <si>
    <t>Total Monthly Revenue</t>
  </si>
  <si>
    <t>Total Monthly Profit</t>
  </si>
  <si>
    <t>ACOS</t>
  </si>
  <si>
    <t>TACOS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</si>
</sst>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9" xfId="0" applyAlignment="1" applyBorder="1" applyFont="1" applyNumberFormat="1">
      <alignment readingOrder="0"/>
    </xf>
    <xf borderId="0" fillId="0" fontId="1" numFmtId="0" xfId="0" applyFont="1"/>
    <xf borderId="0" fillId="0" fontId="2" numFmtId="0" xfId="0" applyFont="1"/>
    <xf borderId="2" fillId="0" fontId="2" numFmtId="10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</cols>
  <sheetData>
    <row r="1">
      <c r="A1" s="1" t="s">
        <v>0</v>
      </c>
      <c r="B1" s="2">
        <v>800.0</v>
      </c>
    </row>
    <row r="2">
      <c r="A2" s="1" t="s">
        <v>1</v>
      </c>
      <c r="B2" s="2">
        <v>280.0</v>
      </c>
    </row>
    <row r="3">
      <c r="A3" s="1" t="s">
        <v>2</v>
      </c>
      <c r="B3" s="3">
        <v>0.12</v>
      </c>
    </row>
    <row r="4">
      <c r="A4" s="1" t="s">
        <v>3</v>
      </c>
      <c r="B4" s="2">
        <v>300000.0</v>
      </c>
    </row>
    <row r="5">
      <c r="A5" s="1" t="s">
        <v>4</v>
      </c>
      <c r="B5" s="2">
        <v>1500.0</v>
      </c>
    </row>
    <row r="6">
      <c r="A6" s="1" t="s">
        <v>5</v>
      </c>
      <c r="B6" s="2">
        <v>2000.0</v>
      </c>
    </row>
    <row r="7">
      <c r="A7" s="1" t="s">
        <v>6</v>
      </c>
      <c r="B7" s="2">
        <v>150000.0</v>
      </c>
    </row>
    <row r="8">
      <c r="A8" s="4"/>
    </row>
    <row r="9">
      <c r="A9" s="4"/>
    </row>
    <row r="10">
      <c r="A10" s="1" t="s">
        <v>7</v>
      </c>
      <c r="B10" s="2">
        <f>B1-B2</f>
        <v>520</v>
      </c>
      <c r="C10" s="5" t="str">
        <f t="shared" ref="C10:C18" si="1">FORMULATEXT(B10)</f>
        <v>=B1-B2</v>
      </c>
    </row>
    <row r="11">
      <c r="A11" s="1" t="s">
        <v>8</v>
      </c>
      <c r="B11" s="2">
        <f>B1*B3</f>
        <v>96</v>
      </c>
      <c r="C11" s="5" t="str">
        <f t="shared" si="1"/>
        <v>=B1*B3</v>
      </c>
    </row>
    <row r="12">
      <c r="A12" s="1" t="s">
        <v>9</v>
      </c>
      <c r="B12" s="2">
        <f>B4/B5</f>
        <v>200</v>
      </c>
      <c r="C12" s="5" t="str">
        <f t="shared" si="1"/>
        <v>=B4/B5</v>
      </c>
    </row>
    <row r="13">
      <c r="A13" s="1" t="s">
        <v>10</v>
      </c>
      <c r="B13" s="2">
        <f>B10-B11-B12</f>
        <v>224</v>
      </c>
      <c r="C13" s="5" t="str">
        <f t="shared" si="1"/>
        <v>=B10-B11-B12</v>
      </c>
    </row>
    <row r="14">
      <c r="A14" s="1" t="s">
        <v>11</v>
      </c>
      <c r="B14" s="2">
        <f>B10-B11</f>
        <v>424</v>
      </c>
      <c r="C14" s="5" t="str">
        <f t="shared" si="1"/>
        <v>=B10-B11</v>
      </c>
    </row>
    <row r="15">
      <c r="A15" s="1" t="s">
        <v>12</v>
      </c>
      <c r="B15" s="2">
        <f>B1*(B5+B6)</f>
        <v>2800000</v>
      </c>
      <c r="C15" s="5" t="str">
        <f t="shared" si="1"/>
        <v>=B1*(B5+B6)</v>
      </c>
    </row>
    <row r="16">
      <c r="A16" s="1" t="s">
        <v>13</v>
      </c>
      <c r="B16" s="2">
        <f>(B13*B5)+(B14*B6)-B7</f>
        <v>1034000</v>
      </c>
      <c r="C16" s="5" t="str">
        <f t="shared" si="1"/>
        <v>=(B13*B5)+(B14*B6)-B7</v>
      </c>
    </row>
    <row r="17">
      <c r="A17" s="1" t="s">
        <v>14</v>
      </c>
      <c r="B17" s="6">
        <f>B4/(B1*B5)</f>
        <v>0.25</v>
      </c>
      <c r="C17" s="5" t="str">
        <f t="shared" si="1"/>
        <v>=B4/(B1*B5)</v>
      </c>
    </row>
    <row r="18">
      <c r="A18" s="1" t="s">
        <v>15</v>
      </c>
      <c r="B18" s="6">
        <f>B4/B15</f>
        <v>0.1071428571</v>
      </c>
      <c r="C18" s="5" t="str">
        <f t="shared" si="1"/>
        <v>=B4/B15</v>
      </c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